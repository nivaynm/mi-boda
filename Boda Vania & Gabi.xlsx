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anianunezmontes/Desktop/mi-boda/"/>
    </mc:Choice>
  </mc:AlternateContent>
  <xr:revisionPtr revIDLastSave="0" documentId="13_ncr:1_{7FB83DFC-7F21-F342-884B-43C1CD8BED8F}" xr6:coauthVersionLast="47" xr6:coauthVersionMax="47" xr10:uidLastSave="{00000000-0000-0000-0000-000000000000}"/>
  <bookViews>
    <workbookView xWindow="5180" yWindow="760" windowWidth="24220" windowHeight="16900" activeTab="1" xr2:uid="{2B028ACD-CA8B-9542-8A77-E904971D8B63}"/>
  </bookViews>
  <sheets>
    <sheet name="Lista Total" sheetId="3" r:id="rId1"/>
    <sheet name="Invitados" sheetId="1" r:id="rId2"/>
    <sheet name="Canciones" sheetId="9" r:id="rId3"/>
    <sheet name="Total Gastos " sheetId="8" r:id="rId4"/>
    <sheet name="Gastos" sheetId="2" r:id="rId5"/>
  </sheets>
  <calcPr calcId="191029"/>
  <pivotCaches>
    <pivotCache cacheId="7" r:id="rId6"/>
    <pivotCache cacheId="8" r:id="rId7"/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" i="2"/>
  <c r="C45" i="1"/>
</calcChain>
</file>

<file path=xl/sharedStrings.xml><?xml version="1.0" encoding="utf-8"?>
<sst xmlns="http://schemas.openxmlformats.org/spreadsheetml/2006/main" count="219" uniqueCount="122">
  <si>
    <t>lista invitados - Vania</t>
  </si>
  <si>
    <t>Rita +1</t>
  </si>
  <si>
    <t>Pepe</t>
  </si>
  <si>
    <t>Camilo +1</t>
  </si>
  <si>
    <t>Tio marcos +1</t>
  </si>
  <si>
    <t>Belisa</t>
  </si>
  <si>
    <t>Maria +1</t>
  </si>
  <si>
    <t>Yesica +1</t>
  </si>
  <si>
    <t>Tracy +1</t>
  </si>
  <si>
    <t>Laura +1</t>
  </si>
  <si>
    <t>Lider Jenni</t>
  </si>
  <si>
    <t>niños</t>
  </si>
  <si>
    <t>lista invitados gabi</t>
  </si>
  <si>
    <t>niños2</t>
  </si>
  <si>
    <t>Susana +1</t>
  </si>
  <si>
    <t xml:space="preserve">Kristel +1 </t>
  </si>
  <si>
    <t xml:space="preserve">Arancha </t>
  </si>
  <si>
    <t>Nacho +1</t>
  </si>
  <si>
    <t>Borja +1</t>
  </si>
  <si>
    <t>Jorge +1</t>
  </si>
  <si>
    <t>Claudia +1</t>
  </si>
  <si>
    <t>Teresa + 1</t>
  </si>
  <si>
    <t>Javier Taguada +1</t>
  </si>
  <si>
    <t>Jose Manuel +1</t>
  </si>
  <si>
    <t>Nono +1</t>
  </si>
  <si>
    <t>Maite +1</t>
  </si>
  <si>
    <t>Machalen</t>
  </si>
  <si>
    <t>Miguel Angel</t>
  </si>
  <si>
    <t>Nacho + 1</t>
  </si>
  <si>
    <t>Javier Blasco +1</t>
  </si>
  <si>
    <t>Loli +1</t>
  </si>
  <si>
    <t>Alex +1</t>
  </si>
  <si>
    <t>Luisma +1</t>
  </si>
  <si>
    <t>Jesus +1</t>
  </si>
  <si>
    <t>Manuel +1</t>
  </si>
  <si>
    <t>Gema +1</t>
  </si>
  <si>
    <t>Portero +1</t>
  </si>
  <si>
    <t>Sheyla</t>
  </si>
  <si>
    <t>Uriel +1</t>
  </si>
  <si>
    <t>Vanessa +1</t>
  </si>
  <si>
    <t>Xiomara + 1</t>
  </si>
  <si>
    <t>Rosita</t>
  </si>
  <si>
    <t>Mirna</t>
  </si>
  <si>
    <t>Tia mery + 1</t>
  </si>
  <si>
    <t>Líder Anibal +1</t>
  </si>
  <si>
    <t>Costos</t>
  </si>
  <si>
    <t>Materiales</t>
  </si>
  <si>
    <t>Pagado? Si/no</t>
  </si>
  <si>
    <t>Row Labels</t>
  </si>
  <si>
    <t>(blank)</t>
  </si>
  <si>
    <t>Grand Total</t>
  </si>
  <si>
    <t>Sum of niños</t>
  </si>
  <si>
    <t>Total</t>
  </si>
  <si>
    <t>Invitados Vania</t>
  </si>
  <si>
    <t xml:space="preserve">Total </t>
  </si>
  <si>
    <t>Mesas y sillas</t>
  </si>
  <si>
    <t>Decoración</t>
  </si>
  <si>
    <t>Regalos/ sorteos</t>
  </si>
  <si>
    <t>Regalo invitado</t>
  </si>
  <si>
    <t>Vestido +Zapatos</t>
  </si>
  <si>
    <t>Traje + Zapatos</t>
  </si>
  <si>
    <t>Chicas londres</t>
  </si>
  <si>
    <t>Sum of Total</t>
  </si>
  <si>
    <t xml:space="preserve">Sum of Total </t>
  </si>
  <si>
    <t>Sum of niños2</t>
  </si>
  <si>
    <t>GABI</t>
  </si>
  <si>
    <t>Javier PADRE</t>
  </si>
  <si>
    <t>Marta MADRE</t>
  </si>
  <si>
    <t>Javier HERMANO</t>
  </si>
  <si>
    <t>Pedro Pablo +3</t>
  </si>
  <si>
    <t>Juan +1</t>
  </si>
  <si>
    <t>Antonio + 1</t>
  </si>
  <si>
    <t>Jose +1</t>
  </si>
  <si>
    <t>Edad niños</t>
  </si>
  <si>
    <t>4 años (Pepe, Lucas)</t>
  </si>
  <si>
    <t>5 años (Belén)</t>
  </si>
  <si>
    <t>7 años (Camila, Martín)</t>
  </si>
  <si>
    <t>11 años (Mateo)</t>
  </si>
  <si>
    <t>14 años (Adriano)</t>
  </si>
  <si>
    <t>Primer pago 30%</t>
  </si>
  <si>
    <t>segundo pago 70%</t>
  </si>
  <si>
    <t>Sum of Costos</t>
  </si>
  <si>
    <t>Count of Primer pago 30%</t>
  </si>
  <si>
    <t>Count of segundo pago 70%</t>
  </si>
  <si>
    <t>Count of Pagado? Si/no</t>
  </si>
  <si>
    <t>2 años (Felipe)</t>
  </si>
  <si>
    <t>9 años (Gareth, Diego, Macarena, Migue)</t>
  </si>
  <si>
    <t>Cui bailador</t>
  </si>
  <si>
    <t xml:space="preserve">Elenco de Baile </t>
  </si>
  <si>
    <t>Comida niños</t>
  </si>
  <si>
    <t>Fotografo</t>
  </si>
  <si>
    <t>Animación niños</t>
  </si>
  <si>
    <t>Ceremoniante</t>
  </si>
  <si>
    <t>Anillos</t>
  </si>
  <si>
    <t>IVA</t>
  </si>
  <si>
    <t>Peinado y maquillaje</t>
  </si>
  <si>
    <t>Fotógrafo</t>
  </si>
  <si>
    <t>Web</t>
  </si>
  <si>
    <t>Importe</t>
  </si>
  <si>
    <t xml:space="preserve">Finca </t>
  </si>
  <si>
    <t xml:space="preserve">Musica </t>
  </si>
  <si>
    <t>Silvia + 1</t>
  </si>
  <si>
    <t>Miriam +1</t>
  </si>
  <si>
    <t>Marieli + 1</t>
  </si>
  <si>
    <t xml:space="preserve">Eliza </t>
  </si>
  <si>
    <t>Marie, Thomas</t>
  </si>
  <si>
    <t>Veronica +1</t>
  </si>
  <si>
    <t xml:space="preserve">Carmen </t>
  </si>
  <si>
    <t>Catering (90)</t>
  </si>
  <si>
    <t>Francheska +1</t>
  </si>
  <si>
    <t>inicio</t>
  </si>
  <si>
    <t>Ceremonia</t>
  </si>
  <si>
    <t>Disco</t>
  </si>
  <si>
    <r>
      <rPr>
        <b/>
        <sz val="12"/>
        <color theme="1"/>
        <rFont val="Aptos Narrow"/>
        <family val="2"/>
        <scheme val="minor"/>
      </rPr>
      <t>Entrada de los invitados</t>
    </r>
    <r>
      <rPr>
        <sz val="12"/>
        <color theme="1"/>
        <rFont val="Aptos Narrow"/>
        <family val="2"/>
        <scheme val="minor"/>
      </rPr>
      <t>: 
Alaba (Praise) - Somos Uno Worship Feat. Johan y Sofi, Lau Guerra https://www.youtube.com/watch?v=0WOs_Fg5tHE&amp;list=RD0WOs_Fg5tHE&amp;start_radio=1</t>
    </r>
  </si>
  <si>
    <t>Cierre de disco</t>
  </si>
  <si>
    <t>Te doy gloria (Samuel Arroyave, Miguel Ibañez)</t>
  </si>
  <si>
    <t>En los montes en los valles</t>
  </si>
  <si>
    <t>Eres todopoderoso - rojo</t>
  </si>
  <si>
    <t>Cantos de jubilo - jaime murrel</t>
  </si>
  <si>
    <t>entregado</t>
  </si>
  <si>
    <t>Entregado2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</si>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</sst>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_-;\-[$€-2]\ * #,##0_-;_-[$€-2]\ * &quot;-&quot;??_-;_-@_-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1" applyFont="1"/>
    <xf numFmtId="0" fontId="4" fillId="0" borderId="0" xfId="0" applyFont="1"/>
    <xf numFmtId="0" fontId="0" fillId="0" borderId="0" xfId="0" applyAlignment="1">
      <alignment wrapText="1"/>
    </xf>
  </cellXfs>
  <cellStyles count="2">
    <cellStyle name="Normal" xfId="0" builtinId="0"/>
    <cellStyle name="Per cent" xfId="1" builtinId="5"/>
  </cellStyles>
  <dxfs count="5">
    <dxf>
      <numFmt numFmtId="164" formatCode="_-[$€-2]\ * #,##0_-;\-[$€-2]\ * #,##0_-;_-[$€-2]\ * &quot;-&quot;??_-;_-@_-"/>
    </dxf>
    <dxf>
      <numFmt numFmtId="13" formatCode="0%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numFmt numFmtId="164" formatCode="_-[$€-2]\ * #,##0_-;\-[$€-2]\ * #,##0_-;_-[$€-2]\ * &quot;-&quot;??_-;_-@_-"/>
    </dxf>
    <dxf>
      <numFmt numFmtId="164" formatCode="_-[$€-2]\ * #,##0_-;\-[$€-2]\ * #,##0_-;_-[$€-2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ia Nuñez montes" refreshedDate="46131.851438773148" createdVersion="8" refreshedVersion="8" minRefreshableVersion="3" recordCount="47" xr:uid="{42FF9E8E-BEBC-124F-A254-A325BB1E8AB2}">
  <cacheSource type="worksheet">
    <worksheetSource ref="B1:F1048576" sheet="Invitados"/>
  </cacheSource>
  <cacheFields count="5">
    <cacheField name="Total" numFmtId="0">
      <sharedItems containsBlank="1" containsMixedTypes="1" containsNumber="1" containsInteger="1" minValue="1" maxValue="2"/>
    </cacheField>
    <cacheField name="niños" numFmtId="0">
      <sharedItems containsBlank="1" containsMixedTypes="1" containsNumber="1" containsInteger="1" minValue="1" maxValue="11"/>
    </cacheField>
    <cacheField name="lista invitados gabi" numFmtId="0">
      <sharedItems containsBlank="1" count="34">
        <s v="Javier PADRE"/>
        <s v="Marta MADRE"/>
        <s v="Arancha "/>
        <s v="Javier HERMANO"/>
        <s v="Nacho +1"/>
        <s v="Borja +1"/>
        <s v="Jorge +1"/>
        <s v="Claudia +1"/>
        <s v="Teresa + 1"/>
        <s v="Javier Taguada +1"/>
        <s v="Jose Manuel +1"/>
        <s v="Nono +1"/>
        <s v="Maite +1"/>
        <s v="Machalen"/>
        <s v="Miguel Angel"/>
        <s v="Nacho + 1"/>
        <s v="Javier Blasco +1"/>
        <s v="Loli +1"/>
        <s v="Alex +1"/>
        <s v="Portero +1"/>
        <s v="Jesus +1"/>
        <s v="Manuel +1"/>
        <s v="Gema +1"/>
        <s v="Pedro Pablo +3"/>
        <s v="Juan +1"/>
        <s v="Antonio + 1"/>
        <s v="Jose +1"/>
        <s v="Silvia + 1"/>
        <s v="Marieli + 1"/>
        <s v="Miriam +1"/>
        <s v="Eliza "/>
        <m/>
        <s v="Javier " u="1"/>
        <s v="Marta" u="1"/>
      </sharedItems>
    </cacheField>
    <cacheField name="Total " numFmtId="0">
      <sharedItems containsString="0" containsBlank="1" containsNumber="1" containsInteger="1" minValue="1" maxValue="4"/>
    </cacheField>
    <cacheField name="niños2" numFmtId="0">
      <sharedItems containsString="0" containsBlank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ia Nuñez montes" refreshedDate="46131.872222685182" createdVersion="8" refreshedVersion="8" minRefreshableVersion="3" recordCount="24" xr:uid="{1D0390CC-4DCE-5F45-BCD2-3984459F873D}">
  <cacheSource type="worksheet">
    <worksheetSource ref="A1:G1048576" sheet="Gastos"/>
  </cacheSource>
  <cacheFields count="7">
    <cacheField name="Materiales" numFmtId="0">
      <sharedItems containsBlank="1" count="27">
        <s v="Finca "/>
        <s v="Musica "/>
        <s v="Catering (90)"/>
        <s v="Mesas y sillas"/>
        <s v="Decoración"/>
        <s v="Regalos/ sorteos"/>
        <s v="Regalo invitado"/>
        <s v="Peinado y maquillaje"/>
        <s v="Vestido +Zapatos"/>
        <s v="Traje + Zapatos"/>
        <s v="Elenco de Baile "/>
        <s v="Cui bailador"/>
        <s v="Ceremoniante"/>
        <s v="Animación niños"/>
        <s v="Comida niños"/>
        <s v="Fotógrafo"/>
        <s v="Web"/>
        <s v="Anillos"/>
        <m/>
        <s v="Catering " u="1"/>
        <s v="Finca (3.500)" u="1"/>
        <s v="Musica (1500)" u="1"/>
        <s v="Catering (92$ x 90)" u="1"/>
        <s v="Finca (3.500+21%)" u="1"/>
        <s v="Musica (1500 + 21%)" u="1"/>
        <s v="Catering (92 x 90)" u="1"/>
        <s v="Elemco de Baile " u="1"/>
      </sharedItems>
    </cacheField>
    <cacheField name="Importe" numFmtId="0">
      <sharedItems containsString="0" containsBlank="1" containsNumber="1" containsInteger="1" minValue="750" maxValue="7200"/>
    </cacheField>
    <cacheField name="IVA" numFmtId="9">
      <sharedItems containsString="0" containsBlank="1" containsNumber="1" minValue="0.1" maxValue="0.21"/>
    </cacheField>
    <cacheField name="Costos" numFmtId="164">
      <sharedItems containsString="0" containsBlank="1" containsNumber="1" minValue="0" maxValue="7920"/>
    </cacheField>
    <cacheField name="Primer pago 30%" numFmtId="0">
      <sharedItems containsNonDate="0" containsString="0" containsBlank="1"/>
    </cacheField>
    <cacheField name="segundo pago 70%" numFmtId="0">
      <sharedItems containsNonDate="0" containsString="0" containsBlank="1"/>
    </cacheField>
    <cacheField name="Pagado? Si/n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ia Nuñez montes" refreshedDate="46131.872500694444" createdVersion="8" refreshedVersion="8" minRefreshableVersion="3" recordCount="47" xr:uid="{97A5B292-4808-804B-A73C-F156499FB800}">
  <cacheSource type="worksheet">
    <worksheetSource ref="A1:F1048576" sheet="Invitados"/>
  </cacheSource>
  <cacheFields count="6">
    <cacheField name="lista invitados - Vania" numFmtId="0">
      <sharedItems containsBlank="1" containsMixedTypes="1" containsNumber="1" containsInteger="1" minValue="0" maxValue="0" count="28">
        <s v="Rita +1"/>
        <s v="Pepe"/>
        <s v="Camilo +1"/>
        <s v="Tia mery + 1"/>
        <s v="Tio marcos +1"/>
        <s v="Belisa"/>
        <s v="Maria +1"/>
        <s v="Yesica +1"/>
        <s v="Tracy +1"/>
        <s v="Laura +1"/>
        <s v="Susana +1"/>
        <s v="Lider Jenni"/>
        <s v="Vanessa +1"/>
        <s v="Rosita"/>
        <s v="Carmen "/>
        <s v="Uriel +1"/>
        <s v="Kristel +1 "/>
        <s v="Sheyla"/>
        <s v="Xiomara + 1"/>
        <s v="Luisma +1"/>
        <s v="Mirna"/>
        <s v="Líder Anibal +1"/>
        <s v="Chicas londres"/>
        <s v="Marie, Thomas"/>
        <s v="Veronica +1"/>
        <s v="Francheska +1"/>
        <m/>
        <n v="0" u="1"/>
      </sharedItems>
    </cacheField>
    <cacheField name="Total" numFmtId="0">
      <sharedItems containsBlank="1" containsMixedTypes="1" containsNumber="1" containsInteger="1" minValue="1" maxValue="2"/>
    </cacheField>
    <cacheField name="niños" numFmtId="0">
      <sharedItems containsBlank="1" containsMixedTypes="1" containsNumber="1" containsInteger="1" minValue="1" maxValue="11"/>
    </cacheField>
    <cacheField name="lista invitados gabi" numFmtId="0">
      <sharedItems containsBlank="1"/>
    </cacheField>
    <cacheField name="Total " numFmtId="0">
      <sharedItems containsString="0" containsBlank="1" containsNumber="1" containsInteger="1" minValue="1" maxValue="4"/>
    </cacheField>
    <cacheField name="niños2" numFmtId="0">
      <sharedItems containsString="0" containsBlank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"/>
    <m/>
    <x v="0"/>
    <n v="1"/>
    <m/>
  </r>
  <r>
    <n v="1"/>
    <m/>
    <x v="1"/>
    <n v="1"/>
    <m/>
  </r>
  <r>
    <n v="2"/>
    <n v="3"/>
    <x v="2"/>
    <n v="1"/>
    <n v="1"/>
  </r>
  <r>
    <n v="2"/>
    <m/>
    <x v="3"/>
    <n v="1"/>
    <n v="1"/>
  </r>
  <r>
    <n v="2"/>
    <m/>
    <x v="4"/>
    <n v="2"/>
    <m/>
  </r>
  <r>
    <n v="1"/>
    <m/>
    <x v="5"/>
    <n v="2"/>
    <n v="1"/>
  </r>
  <r>
    <n v="2"/>
    <m/>
    <x v="6"/>
    <n v="2"/>
    <m/>
  </r>
  <r>
    <n v="2"/>
    <m/>
    <x v="7"/>
    <n v="2"/>
    <n v="1"/>
  </r>
  <r>
    <n v="2"/>
    <m/>
    <x v="8"/>
    <n v="2"/>
    <n v="3"/>
  </r>
  <r>
    <n v="2"/>
    <m/>
    <x v="9"/>
    <n v="2"/>
    <m/>
  </r>
  <r>
    <n v="2"/>
    <n v="1"/>
    <x v="10"/>
    <n v="2"/>
    <n v="2"/>
  </r>
  <r>
    <n v="1"/>
    <m/>
    <x v="11"/>
    <n v="2"/>
    <m/>
  </r>
  <r>
    <n v="2"/>
    <m/>
    <x v="12"/>
    <n v="2"/>
    <m/>
  </r>
  <r>
    <n v="1"/>
    <m/>
    <x v="13"/>
    <n v="1"/>
    <m/>
  </r>
  <r>
    <n v="1"/>
    <m/>
    <x v="14"/>
    <n v="1"/>
    <m/>
  </r>
  <r>
    <n v="2"/>
    <m/>
    <x v="15"/>
    <n v="2"/>
    <m/>
  </r>
  <r>
    <n v="2"/>
    <m/>
    <x v="16"/>
    <n v="2"/>
    <n v="1"/>
  </r>
  <r>
    <n v="1"/>
    <m/>
    <x v="17"/>
    <n v="2"/>
    <m/>
  </r>
  <r>
    <n v="2"/>
    <m/>
    <x v="18"/>
    <n v="2"/>
    <m/>
  </r>
  <r>
    <n v="2"/>
    <m/>
    <x v="19"/>
    <n v="2"/>
    <m/>
  </r>
  <r>
    <n v="1"/>
    <m/>
    <x v="20"/>
    <n v="2"/>
    <m/>
  </r>
  <r>
    <n v="2"/>
    <m/>
    <x v="21"/>
    <n v="2"/>
    <m/>
  </r>
  <r>
    <n v="2"/>
    <m/>
    <x v="22"/>
    <n v="2"/>
    <m/>
  </r>
  <r>
    <n v="2"/>
    <n v="1"/>
    <x v="23"/>
    <n v="4"/>
    <m/>
  </r>
  <r>
    <n v="2"/>
    <n v="2"/>
    <x v="24"/>
    <n v="2"/>
    <m/>
  </r>
  <r>
    <m/>
    <m/>
    <x v="25"/>
    <n v="2"/>
    <m/>
  </r>
  <r>
    <m/>
    <m/>
    <x v="26"/>
    <n v="2"/>
    <m/>
  </r>
  <r>
    <m/>
    <m/>
    <x v="27"/>
    <n v="2"/>
    <m/>
  </r>
  <r>
    <m/>
    <m/>
    <x v="28"/>
    <n v="2"/>
    <m/>
  </r>
  <r>
    <m/>
    <m/>
    <x v="29"/>
    <n v="2"/>
    <m/>
  </r>
  <r>
    <m/>
    <m/>
    <x v="30"/>
    <n v="1"/>
    <m/>
  </r>
  <r>
    <m/>
    <m/>
    <x v="31"/>
    <m/>
    <m/>
  </r>
  <r>
    <m/>
    <m/>
    <x v="31"/>
    <m/>
    <m/>
  </r>
  <r>
    <m/>
    <m/>
    <x v="31"/>
    <m/>
    <m/>
  </r>
  <r>
    <m/>
    <m/>
    <x v="31"/>
    <m/>
    <m/>
  </r>
  <r>
    <s v="Edad niños"/>
    <s v="Total"/>
    <x v="31"/>
    <m/>
    <m/>
  </r>
  <r>
    <s v="2 años (Felipe)"/>
    <n v="1"/>
    <x v="31"/>
    <m/>
    <m/>
  </r>
  <r>
    <s v="4 años (Pepe, Lucas)"/>
    <n v="2"/>
    <x v="31"/>
    <m/>
    <m/>
  </r>
  <r>
    <s v="5 años (Belén)"/>
    <n v="1"/>
    <x v="31"/>
    <m/>
    <m/>
  </r>
  <r>
    <s v="7 años (Camila, Martín)"/>
    <n v="2"/>
    <x v="31"/>
    <m/>
    <m/>
  </r>
  <r>
    <s v="9 años (Gareth, Diego, Macarena, Migue)"/>
    <n v="4"/>
    <x v="31"/>
    <m/>
    <m/>
  </r>
  <r>
    <s v="11 años (Mateo)"/>
    <n v="1"/>
    <x v="31"/>
    <m/>
    <m/>
  </r>
  <r>
    <s v="14 años (Adriano)"/>
    <n v="1"/>
    <x v="31"/>
    <m/>
    <m/>
  </r>
  <r>
    <m/>
    <n v="11"/>
    <x v="31"/>
    <m/>
    <m/>
  </r>
  <r>
    <m/>
    <m/>
    <x v="31"/>
    <m/>
    <m/>
  </r>
  <r>
    <m/>
    <m/>
    <x v="31"/>
    <m/>
    <m/>
  </r>
  <r>
    <m/>
    <m/>
    <x v="3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3500"/>
    <n v="0.1"/>
    <n v="3850"/>
    <m/>
    <m/>
    <m/>
  </r>
  <r>
    <x v="1"/>
    <n v="1500"/>
    <n v="0.21"/>
    <n v="1815"/>
    <m/>
    <m/>
    <m/>
  </r>
  <r>
    <x v="2"/>
    <n v="7200"/>
    <n v="0.1"/>
    <n v="7920"/>
    <m/>
    <m/>
    <m/>
  </r>
  <r>
    <x v="3"/>
    <m/>
    <m/>
    <n v="0"/>
    <m/>
    <m/>
    <m/>
  </r>
  <r>
    <x v="4"/>
    <m/>
    <m/>
    <n v="0"/>
    <m/>
    <m/>
    <m/>
  </r>
  <r>
    <x v="5"/>
    <m/>
    <m/>
    <n v="0"/>
    <m/>
    <m/>
    <m/>
  </r>
  <r>
    <x v="6"/>
    <m/>
    <m/>
    <n v="0"/>
    <m/>
    <m/>
    <m/>
  </r>
  <r>
    <x v="7"/>
    <m/>
    <m/>
    <n v="0"/>
    <m/>
    <m/>
    <m/>
  </r>
  <r>
    <x v="8"/>
    <m/>
    <m/>
    <n v="0"/>
    <m/>
    <m/>
    <m/>
  </r>
  <r>
    <x v="9"/>
    <m/>
    <m/>
    <n v="0"/>
    <m/>
    <m/>
    <m/>
  </r>
  <r>
    <x v="10"/>
    <m/>
    <m/>
    <n v="0"/>
    <m/>
    <m/>
    <m/>
  </r>
  <r>
    <x v="11"/>
    <m/>
    <m/>
    <n v="0"/>
    <m/>
    <m/>
    <m/>
  </r>
  <r>
    <x v="12"/>
    <m/>
    <m/>
    <n v="0"/>
    <m/>
    <m/>
    <m/>
  </r>
  <r>
    <x v="13"/>
    <m/>
    <m/>
    <n v="0"/>
    <m/>
    <m/>
    <m/>
  </r>
  <r>
    <x v="14"/>
    <m/>
    <m/>
    <n v="0"/>
    <m/>
    <m/>
    <m/>
  </r>
  <r>
    <x v="15"/>
    <n v="1900"/>
    <n v="0.1"/>
    <n v="2090"/>
    <m/>
    <m/>
    <m/>
  </r>
  <r>
    <x v="16"/>
    <m/>
    <m/>
    <n v="0"/>
    <m/>
    <m/>
    <m/>
  </r>
  <r>
    <x v="17"/>
    <n v="750"/>
    <n v="0.21"/>
    <n v="907.5"/>
    <m/>
    <m/>
    <m/>
  </r>
  <r>
    <x v="18"/>
    <m/>
    <m/>
    <n v="0"/>
    <m/>
    <m/>
    <m/>
  </r>
  <r>
    <x v="18"/>
    <m/>
    <m/>
    <n v="0"/>
    <m/>
    <m/>
    <m/>
  </r>
  <r>
    <x v="18"/>
    <m/>
    <m/>
    <n v="0"/>
    <m/>
    <m/>
    <m/>
  </r>
  <r>
    <x v="18"/>
    <m/>
    <m/>
    <n v="0"/>
    <m/>
    <m/>
    <m/>
  </r>
  <r>
    <x v="18"/>
    <m/>
    <m/>
    <n v="0"/>
    <m/>
    <m/>
    <m/>
  </r>
  <r>
    <x v="18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n v="2"/>
    <m/>
    <s v="Javier PADRE"/>
    <n v="1"/>
    <m/>
  </r>
  <r>
    <x v="1"/>
    <n v="1"/>
    <m/>
    <s v="Marta MADRE"/>
    <n v="1"/>
    <m/>
  </r>
  <r>
    <x v="2"/>
    <n v="2"/>
    <n v="3"/>
    <s v="Arancha "/>
    <n v="1"/>
    <n v="1"/>
  </r>
  <r>
    <x v="3"/>
    <n v="2"/>
    <m/>
    <s v="Javier HERMANO"/>
    <n v="1"/>
    <n v="1"/>
  </r>
  <r>
    <x v="4"/>
    <n v="2"/>
    <m/>
    <s v="Nacho +1"/>
    <n v="2"/>
    <m/>
  </r>
  <r>
    <x v="5"/>
    <n v="1"/>
    <m/>
    <s v="Borja +1"/>
    <n v="2"/>
    <n v="1"/>
  </r>
  <r>
    <x v="6"/>
    <n v="2"/>
    <m/>
    <s v="Jorge +1"/>
    <n v="2"/>
    <m/>
  </r>
  <r>
    <x v="7"/>
    <n v="2"/>
    <m/>
    <s v="Claudia +1"/>
    <n v="2"/>
    <n v="1"/>
  </r>
  <r>
    <x v="8"/>
    <n v="2"/>
    <m/>
    <s v="Teresa + 1"/>
    <n v="2"/>
    <n v="3"/>
  </r>
  <r>
    <x v="9"/>
    <n v="2"/>
    <m/>
    <s v="Javier Taguada +1"/>
    <n v="2"/>
    <m/>
  </r>
  <r>
    <x v="10"/>
    <n v="2"/>
    <n v="1"/>
    <s v="Jose Manuel +1"/>
    <n v="2"/>
    <n v="2"/>
  </r>
  <r>
    <x v="11"/>
    <n v="1"/>
    <m/>
    <s v="Nono +1"/>
    <n v="2"/>
    <m/>
  </r>
  <r>
    <x v="12"/>
    <n v="2"/>
    <m/>
    <s v="Maite +1"/>
    <n v="2"/>
    <m/>
  </r>
  <r>
    <x v="13"/>
    <n v="1"/>
    <m/>
    <s v="Machalen"/>
    <n v="1"/>
    <m/>
  </r>
  <r>
    <x v="14"/>
    <n v="1"/>
    <m/>
    <s v="Miguel Angel"/>
    <n v="1"/>
    <m/>
  </r>
  <r>
    <x v="15"/>
    <n v="2"/>
    <m/>
    <s v="Nacho + 1"/>
    <n v="2"/>
    <m/>
  </r>
  <r>
    <x v="16"/>
    <n v="2"/>
    <m/>
    <s v="Javier Blasco +1"/>
    <n v="2"/>
    <n v="1"/>
  </r>
  <r>
    <x v="17"/>
    <n v="1"/>
    <m/>
    <s v="Loli +1"/>
    <n v="2"/>
    <m/>
  </r>
  <r>
    <x v="18"/>
    <n v="2"/>
    <m/>
    <s v="Alex +1"/>
    <n v="2"/>
    <m/>
  </r>
  <r>
    <x v="19"/>
    <n v="2"/>
    <m/>
    <s v="Portero +1"/>
    <n v="2"/>
    <m/>
  </r>
  <r>
    <x v="20"/>
    <n v="1"/>
    <m/>
    <s v="Jesus +1"/>
    <n v="2"/>
    <m/>
  </r>
  <r>
    <x v="21"/>
    <n v="2"/>
    <m/>
    <s v="Manuel +1"/>
    <n v="2"/>
    <m/>
  </r>
  <r>
    <x v="22"/>
    <n v="2"/>
    <m/>
    <s v="Gema +1"/>
    <n v="2"/>
    <m/>
  </r>
  <r>
    <x v="23"/>
    <n v="2"/>
    <n v="1"/>
    <s v="Pedro Pablo +3"/>
    <n v="4"/>
    <m/>
  </r>
  <r>
    <x v="24"/>
    <n v="2"/>
    <n v="2"/>
    <s v="Juan +1"/>
    <n v="2"/>
    <m/>
  </r>
  <r>
    <x v="25"/>
    <n v="2"/>
    <n v="2"/>
    <s v="Antonio + 1"/>
    <n v="2"/>
    <m/>
  </r>
  <r>
    <x v="26"/>
    <m/>
    <m/>
    <s v="Jose +1"/>
    <n v="2"/>
    <m/>
  </r>
  <r>
    <x v="26"/>
    <m/>
    <m/>
    <s v="Silvia + 1"/>
    <n v="2"/>
    <m/>
  </r>
  <r>
    <x v="26"/>
    <m/>
    <m/>
    <s v="Marieli + 1"/>
    <n v="2"/>
    <m/>
  </r>
  <r>
    <x v="26"/>
    <m/>
    <m/>
    <s v="Miriam +1"/>
    <n v="2"/>
    <m/>
  </r>
  <r>
    <x v="26"/>
    <m/>
    <m/>
    <s v="Eliza "/>
    <n v="1"/>
    <m/>
  </r>
  <r>
    <x v="26"/>
    <m/>
    <m/>
    <m/>
    <m/>
    <m/>
  </r>
  <r>
    <x v="26"/>
    <m/>
    <m/>
    <m/>
    <m/>
    <m/>
  </r>
  <r>
    <x v="26"/>
    <m/>
    <m/>
    <m/>
    <m/>
    <m/>
  </r>
  <r>
    <x v="26"/>
    <m/>
    <m/>
    <m/>
    <m/>
    <m/>
  </r>
  <r>
    <x v="26"/>
    <s v="Edad niños"/>
    <s v="Total"/>
    <m/>
    <m/>
    <m/>
  </r>
  <r>
    <x v="26"/>
    <s v="2 años (Felipe)"/>
    <n v="1"/>
    <m/>
    <m/>
    <m/>
  </r>
  <r>
    <x v="26"/>
    <s v="4 años (Pepe, Lucas)"/>
    <n v="2"/>
    <m/>
    <m/>
    <m/>
  </r>
  <r>
    <x v="26"/>
    <s v="5 años (Belén)"/>
    <n v="1"/>
    <m/>
    <m/>
    <m/>
  </r>
  <r>
    <x v="26"/>
    <s v="7 años (Camila, Martín)"/>
    <n v="2"/>
    <m/>
    <m/>
    <m/>
  </r>
  <r>
    <x v="26"/>
    <s v="9 años (Gareth, Diego, Macarena, Migue)"/>
    <n v="4"/>
    <m/>
    <m/>
    <m/>
  </r>
  <r>
    <x v="26"/>
    <s v="11 años (Mateo)"/>
    <n v="1"/>
    <m/>
    <m/>
    <m/>
  </r>
  <r>
    <x v="26"/>
    <s v="14 años (Adriano)"/>
    <n v="1"/>
    <m/>
    <m/>
    <m/>
  </r>
  <r>
    <x v="26"/>
    <m/>
    <n v="11"/>
    <m/>
    <m/>
    <m/>
  </r>
  <r>
    <x v="26"/>
    <m/>
    <m/>
    <m/>
    <m/>
    <m/>
  </r>
  <r>
    <x v="26"/>
    <m/>
    <m/>
    <m/>
    <m/>
    <m/>
  </r>
  <r>
    <x v="2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3BE47-16F4-8C47-9D2C-081D77F6E3E3}" name="PivotTable1" cacheId="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" rowHeaderCaption="Invitados Vania">
  <location ref="A3:C31" firstHeaderRow="0" firstDataRow="1" firstDataCol="1"/>
  <pivotFields count="6">
    <pivotField axis="axisRow" showAll="0" defaultSubtotal="0">
      <items count="28">
        <item m="1" x="27"/>
        <item x="5"/>
        <item x="2"/>
        <item x="16"/>
        <item x="9"/>
        <item x="21"/>
        <item x="11"/>
        <item x="19"/>
        <item x="6"/>
        <item x="20"/>
        <item x="1"/>
        <item x="0"/>
        <item x="13"/>
        <item x="17"/>
        <item x="10"/>
        <item x="3"/>
        <item x="4"/>
        <item x="8"/>
        <item x="15"/>
        <item x="12"/>
        <item x="18"/>
        <item x="7"/>
        <item x="26"/>
        <item x="22"/>
        <item x="14"/>
        <item x="23"/>
        <item x="24"/>
        <item x="25"/>
      </items>
    </pivotField>
    <pivotField dataField="1" showAll="0"/>
    <pivotField dataField="1" showAll="0"/>
    <pivotField showAll="0"/>
    <pivotField showAll="0"/>
    <pivotField showAll="0"/>
  </pivotFields>
  <rowFields count="1">
    <field x="0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" baseField="0" baseItem="0"/>
    <dataField name="Sum of niño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15DFA-611E-064D-B174-3E36B8AD5E9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ABI">
  <location ref="D3:F36" firstHeaderRow="0" firstDataRow="1" firstDataCol="1"/>
  <pivotFields count="5">
    <pivotField showAll="0"/>
    <pivotField showAll="0"/>
    <pivotField axis="axisRow" showAll="0">
      <items count="35">
        <item x="18"/>
        <item x="2"/>
        <item x="5"/>
        <item x="7"/>
        <item x="22"/>
        <item m="1" x="32"/>
        <item x="16"/>
        <item x="9"/>
        <item x="20"/>
        <item x="6"/>
        <item x="10"/>
        <item x="17"/>
        <item x="13"/>
        <item x="12"/>
        <item x="21"/>
        <item m="1" x="33"/>
        <item x="14"/>
        <item x="15"/>
        <item x="4"/>
        <item x="11"/>
        <item x="19"/>
        <item x="8"/>
        <item x="31"/>
        <item x="0"/>
        <item x="1"/>
        <item x="3"/>
        <item x="23"/>
        <item x="24"/>
        <item x="25"/>
        <item x="26"/>
        <item x="27"/>
        <item x="28"/>
        <item x="29"/>
        <item x="30"/>
        <item t="default"/>
      </items>
    </pivotField>
    <pivotField dataField="1" showAll="0"/>
    <pivotField dataField="1"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" fld="3" baseField="0" baseItem="0"/>
    <dataField name="Sum of niños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9383E-E444-4346-A181-EFE1A7871EFD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3" firstHeaderRow="0" firstDataRow="1" firstDataCol="1"/>
  <pivotFields count="7">
    <pivotField axis="axisRow" showAll="0">
      <items count="28">
        <item m="1" x="25"/>
        <item x="4"/>
        <item m="1" x="23"/>
        <item x="3"/>
        <item m="1" x="24"/>
        <item x="6"/>
        <item x="5"/>
        <item x="9"/>
        <item x="8"/>
        <item n="Fotografo" x="18"/>
        <item m="1" x="26"/>
        <item x="11"/>
        <item x="10"/>
        <item x="14"/>
        <item m="1" x="20"/>
        <item m="1" x="21"/>
        <item m="1" x="22"/>
        <item x="7"/>
        <item x="12"/>
        <item x="13"/>
        <item x="15"/>
        <item x="16"/>
        <item x="17"/>
        <item x="0"/>
        <item x="1"/>
        <item m="1" x="19"/>
        <item x="2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0">
    <i>
      <x v="1"/>
    </i>
    <i>
      <x v="3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stos" fld="3" baseField="0" baseItem="0" numFmtId="164"/>
    <dataField name="Count of Primer pago 30%" fld="4" subtotal="count" baseField="0" baseItem="0"/>
    <dataField name="Count of segundo pago 70%" fld="5" subtotal="count" baseField="0" baseItem="0"/>
    <dataField name="Count of Pagado? Si/no" fld="6" subtotal="count" baseField="0" baseItem="0"/>
  </dataFields>
  <formats count="2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17839-0443-814C-9E7E-AE7B1A4F3395}" name="Table1" displayName="Table1" ref="A1:H34" totalsRowCount="1">
  <autoFilter ref="A1:H33" xr:uid="{21517839-0443-814C-9E7E-AE7B1A4F3395}"/>
  <tableColumns count="8">
    <tableColumn id="1" xr3:uid="{0EFAA835-440C-1C4E-8A7D-5A68B63D5291}" name="lista invitados - Vania"/>
    <tableColumn id="3" xr3:uid="{1C0E2F67-8F83-584C-A834-02050D7DE190}" name="Total"/>
    <tableColumn id="5" xr3:uid="{4AA5167B-08CE-3E47-B9D5-37FA9BAF9C93}" name="entregado"/>
    <tableColumn id="2" xr3:uid="{13EBF995-4239-9142-B867-5638C30BF680}" name="niños"/>
    <tableColumn id="8" xr3:uid="{C214CD6B-0BB0-A445-87FB-83F099B87AF8}" name="lista invitados gabi"/>
    <tableColumn id="4" xr3:uid="{47F29665-AD22-BD42-AD91-EB124F9D134A}" name="Total "/>
    <tableColumn id="9" xr3:uid="{03D82E92-CFE2-4F48-B20E-71CA96B71F43}" name="niños2"/>
    <tableColumn id="7" xr3:uid="{015E71CB-ED6D-3844-ABB6-CD40BE5FE3D8}" name="Entregado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0EC6CF-3AFE-AB48-8202-D7A5C8388113}" name="Table4" displayName="Table4" ref="B37:C46" totalsRowShown="0">
  <autoFilter ref="B37:C46" xr:uid="{450EC6CF-3AFE-AB48-8202-D7A5C8388113}"/>
  <tableColumns count="2">
    <tableColumn id="1" xr3:uid="{83BD528D-09B1-E24A-A181-F4F6A7562CFC}" name="Edad niños"/>
    <tableColumn id="3" xr3:uid="{073FDB56-5532-4B4D-A1EE-D8E6F8EECA4A}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732704-CD78-DC47-9042-CCE93EAFED52}" name="Table5" displayName="Table5" ref="B2:E13" totalsRowShown="0">
  <autoFilter ref="B2:E13" xr:uid="{10732704-CD78-DC47-9042-CCE93EAFED52}"/>
  <tableColumns count="4">
    <tableColumn id="1" xr3:uid="{644FD111-7C9C-CD4A-9588-F07D193B855F}" name="inicio"/>
    <tableColumn id="2" xr3:uid="{E1FEDBB2-F1F7-9B4A-A192-7C21200DAFD1}" name="Ceremonia"/>
    <tableColumn id="3" xr3:uid="{BF32237F-75CF-214E-B52E-1C8456708DD2}" name="Disco"/>
    <tableColumn id="4" xr3:uid="{8D0166A3-E40F-1844-A2DC-8D8AE2E5D458}" name="Cierre de disco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19E5AF-F0BB-FB44-8945-F3B708858653}" name="Table2" displayName="Table2" ref="A1:G24" totalsRowShown="0">
  <autoFilter ref="A1:G24" xr:uid="{A819E5AF-F0BB-FB44-8945-F3B708858653}"/>
  <tableColumns count="7">
    <tableColumn id="1" xr3:uid="{A36D4940-DB2A-F24A-881E-C6A5B22FE55C}" name="Materiales" dataDxfId="2"/>
    <tableColumn id="10" xr3:uid="{EA7A415C-218C-8342-B6FC-B2947F580EC7}" name="Importe"/>
    <tableColumn id="9" xr3:uid="{C90C9EBE-04F1-0744-B394-BF218C449465}" name="IVA" dataDxfId="1" dataCellStyle="Per cent"/>
    <tableColumn id="8" xr3:uid="{172AC4D8-35F8-EB4E-BBE6-90D86A3B9995}" name="Costos" dataDxfId="0">
      <calculatedColumnFormula>Table2[[#This Row],[Importe]]+(Table2[[#This Row],[Importe]]*Table2[[#This Row],[IVA]])</calculatedColumnFormula>
    </tableColumn>
    <tableColumn id="2" xr3:uid="{B66E2C8A-3B0A-D64B-8ACE-8F63C5AD50A8}" name="Primer pago 30%"/>
    <tableColumn id="3" xr3:uid="{784D3F45-6B82-AA4D-82E1-43A2C55FE668}" name="segundo pago 70%"/>
    <tableColumn id="4" xr3:uid="{6A1D173A-ED25-8146-8F95-8C3D4032EDF6}" name="Pagado? Si/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8C22-8F31-4749-8E34-93A58DA0860F}">
  <dimension ref="A3:F36"/>
  <sheetViews>
    <sheetView workbookViewId="0">
      <selection activeCell="A2" sqref="A2"/>
    </sheetView>
  </sheetViews>
  <sheetFormatPr baseColWidth="10" defaultRowHeight="16" x14ac:dyDescent="0.2"/>
  <cols>
    <col min="1" max="1" width="16.1640625" bestFit="1" customWidth="1"/>
    <col min="2" max="2" width="11.1640625" bestFit="1" customWidth="1"/>
    <col min="3" max="3" width="11.83203125" bestFit="1" customWidth="1"/>
    <col min="4" max="4" width="15.1640625" bestFit="1" customWidth="1"/>
    <col min="5" max="5" width="11.5" bestFit="1" customWidth="1"/>
    <col min="6" max="6" width="12.83203125" bestFit="1" customWidth="1"/>
    <col min="7" max="7" width="13.33203125" bestFit="1" customWidth="1"/>
    <col min="8" max="8" width="9.83203125" bestFit="1" customWidth="1"/>
    <col min="9" max="9" width="9.6640625" bestFit="1" customWidth="1"/>
    <col min="10" max="10" width="8.1640625" bestFit="1" customWidth="1"/>
    <col min="11" max="11" width="5.83203125" bestFit="1" customWidth="1"/>
    <col min="12" max="12" width="5.33203125" bestFit="1" customWidth="1"/>
    <col min="13" max="13" width="6.83203125" bestFit="1" customWidth="1"/>
    <col min="14" max="15" width="6.5" bestFit="1" customWidth="1"/>
    <col min="16" max="16" width="9.5" bestFit="1" customWidth="1"/>
    <col min="17" max="17" width="10.6640625" bestFit="1" customWidth="1"/>
    <col min="18" max="18" width="12.5" bestFit="1" customWidth="1"/>
    <col min="19" max="19" width="7.83203125" bestFit="1" customWidth="1"/>
    <col min="20" max="20" width="7.33203125" bestFit="1" customWidth="1"/>
    <col min="21" max="22" width="10.6640625" bestFit="1" customWidth="1"/>
    <col min="23" max="23" width="9" bestFit="1" customWidth="1"/>
    <col min="24" max="24" width="7" bestFit="1" customWidth="1"/>
    <col min="25" max="25" width="13.5" bestFit="1" customWidth="1"/>
    <col min="26" max="26" width="11.83203125" bestFit="1" customWidth="1"/>
    <col min="27" max="27" width="6.33203125" bestFit="1" customWidth="1"/>
    <col min="28" max="28" width="9.5" bestFit="1" customWidth="1"/>
    <col min="29" max="29" width="9.33203125" bestFit="1" customWidth="1"/>
    <col min="30" max="30" width="8.1640625" bestFit="1" customWidth="1"/>
    <col min="31" max="31" width="13.33203125" bestFit="1" customWidth="1"/>
    <col min="32" max="32" width="9.83203125" bestFit="1" customWidth="1"/>
    <col min="33" max="33" width="9.6640625" bestFit="1" customWidth="1"/>
    <col min="34" max="34" width="8.1640625" bestFit="1" customWidth="1"/>
    <col min="35" max="35" width="5.83203125" bestFit="1" customWidth="1"/>
    <col min="36" max="36" width="5.33203125" bestFit="1" customWidth="1"/>
    <col min="37" max="37" width="6.83203125" bestFit="1" customWidth="1"/>
    <col min="38" max="39" width="6.5" bestFit="1" customWidth="1"/>
    <col min="40" max="40" width="9.5" bestFit="1" customWidth="1"/>
    <col min="41" max="41" width="10.6640625" bestFit="1" customWidth="1"/>
    <col min="42" max="42" width="12.5" bestFit="1" customWidth="1"/>
    <col min="43" max="43" width="7.83203125" bestFit="1" customWidth="1"/>
    <col min="44" max="44" width="7.33203125" bestFit="1" customWidth="1"/>
    <col min="45" max="46" width="10.6640625" bestFit="1" customWidth="1"/>
    <col min="47" max="47" width="9" bestFit="1" customWidth="1"/>
    <col min="48" max="48" width="7" bestFit="1" customWidth="1"/>
    <col min="49" max="49" width="13.5" bestFit="1" customWidth="1"/>
    <col min="50" max="50" width="15.5" bestFit="1" customWidth="1"/>
    <col min="51" max="51" width="16.5" bestFit="1" customWidth="1"/>
  </cols>
  <sheetData>
    <row r="3" spans="1:6" x14ac:dyDescent="0.2">
      <c r="A3" s="1" t="s">
        <v>53</v>
      </c>
      <c r="B3" t="s">
        <v>62</v>
      </c>
      <c r="C3" t="s">
        <v>51</v>
      </c>
      <c r="D3" s="1" t="s">
        <v>65</v>
      </c>
      <c r="E3" t="s">
        <v>63</v>
      </c>
      <c r="F3" t="s">
        <v>64</v>
      </c>
    </row>
    <row r="4" spans="1:6" x14ac:dyDescent="0.2">
      <c r="A4" s="2" t="s">
        <v>5</v>
      </c>
      <c r="B4">
        <v>1</v>
      </c>
      <c r="D4" s="2" t="s">
        <v>31</v>
      </c>
      <c r="E4">
        <v>2</v>
      </c>
    </row>
    <row r="5" spans="1:6" x14ac:dyDescent="0.2">
      <c r="A5" s="2" t="s">
        <v>3</v>
      </c>
      <c r="B5">
        <v>2</v>
      </c>
      <c r="C5">
        <v>3</v>
      </c>
      <c r="D5" s="2" t="s">
        <v>16</v>
      </c>
      <c r="E5">
        <v>1</v>
      </c>
      <c r="F5">
        <v>1</v>
      </c>
    </row>
    <row r="6" spans="1:6" x14ac:dyDescent="0.2">
      <c r="A6" s="2" t="s">
        <v>15</v>
      </c>
      <c r="B6">
        <v>2</v>
      </c>
      <c r="D6" s="2" t="s">
        <v>18</v>
      </c>
      <c r="E6">
        <v>2</v>
      </c>
      <c r="F6">
        <v>1</v>
      </c>
    </row>
    <row r="7" spans="1:6" x14ac:dyDescent="0.2">
      <c r="A7" s="2" t="s">
        <v>9</v>
      </c>
      <c r="B7">
        <v>2</v>
      </c>
      <c r="D7" s="2" t="s">
        <v>20</v>
      </c>
      <c r="E7">
        <v>2</v>
      </c>
      <c r="F7">
        <v>1</v>
      </c>
    </row>
    <row r="8" spans="1:6" x14ac:dyDescent="0.2">
      <c r="A8" s="2" t="s">
        <v>44</v>
      </c>
      <c r="B8">
        <v>2</v>
      </c>
      <c r="D8" s="2" t="s">
        <v>35</v>
      </c>
      <c r="E8">
        <v>2</v>
      </c>
    </row>
    <row r="9" spans="1:6" x14ac:dyDescent="0.2">
      <c r="A9" s="2" t="s">
        <v>10</v>
      </c>
      <c r="B9">
        <v>1</v>
      </c>
      <c r="D9" s="2" t="s">
        <v>29</v>
      </c>
      <c r="E9">
        <v>2</v>
      </c>
      <c r="F9">
        <v>1</v>
      </c>
    </row>
    <row r="10" spans="1:6" x14ac:dyDescent="0.2">
      <c r="A10" s="2" t="s">
        <v>32</v>
      </c>
      <c r="B10">
        <v>2</v>
      </c>
      <c r="D10" s="2" t="s">
        <v>22</v>
      </c>
      <c r="E10">
        <v>2</v>
      </c>
    </row>
    <row r="11" spans="1:6" x14ac:dyDescent="0.2">
      <c r="A11" s="2" t="s">
        <v>6</v>
      </c>
      <c r="B11">
        <v>2</v>
      </c>
      <c r="D11" s="2" t="s">
        <v>33</v>
      </c>
      <c r="E11">
        <v>2</v>
      </c>
    </row>
    <row r="12" spans="1:6" x14ac:dyDescent="0.2">
      <c r="A12" s="2" t="s">
        <v>42</v>
      </c>
      <c r="B12">
        <v>1</v>
      </c>
      <c r="D12" s="2" t="s">
        <v>19</v>
      </c>
      <c r="E12">
        <v>2</v>
      </c>
    </row>
    <row r="13" spans="1:6" x14ac:dyDescent="0.2">
      <c r="A13" s="2" t="s">
        <v>2</v>
      </c>
      <c r="B13">
        <v>1</v>
      </c>
      <c r="D13" s="2" t="s">
        <v>23</v>
      </c>
      <c r="E13">
        <v>2</v>
      </c>
      <c r="F13">
        <v>2</v>
      </c>
    </row>
    <row r="14" spans="1:6" x14ac:dyDescent="0.2">
      <c r="A14" s="2" t="s">
        <v>1</v>
      </c>
      <c r="B14">
        <v>2</v>
      </c>
      <c r="D14" s="2" t="s">
        <v>30</v>
      </c>
      <c r="E14">
        <v>2</v>
      </c>
    </row>
    <row r="15" spans="1:6" x14ac:dyDescent="0.2">
      <c r="A15" s="2" t="s">
        <v>41</v>
      </c>
      <c r="B15">
        <v>1</v>
      </c>
      <c r="D15" s="2" t="s">
        <v>26</v>
      </c>
      <c r="E15">
        <v>1</v>
      </c>
    </row>
    <row r="16" spans="1:6" x14ac:dyDescent="0.2">
      <c r="A16" s="2" t="s">
        <v>37</v>
      </c>
      <c r="B16">
        <v>1</v>
      </c>
      <c r="D16" s="2" t="s">
        <v>25</v>
      </c>
      <c r="E16">
        <v>2</v>
      </c>
    </row>
    <row r="17" spans="1:6" x14ac:dyDescent="0.2">
      <c r="A17" s="2" t="s">
        <v>14</v>
      </c>
      <c r="B17">
        <v>2</v>
      </c>
      <c r="C17">
        <v>1</v>
      </c>
      <c r="D17" s="2" t="s">
        <v>34</v>
      </c>
      <c r="E17">
        <v>2</v>
      </c>
    </row>
    <row r="18" spans="1:6" x14ac:dyDescent="0.2">
      <c r="A18" s="2" t="s">
        <v>43</v>
      </c>
      <c r="B18">
        <v>2</v>
      </c>
      <c r="D18" s="2" t="s">
        <v>27</v>
      </c>
      <c r="E18">
        <v>1</v>
      </c>
    </row>
    <row r="19" spans="1:6" x14ac:dyDescent="0.2">
      <c r="A19" s="2" t="s">
        <v>4</v>
      </c>
      <c r="B19">
        <v>2</v>
      </c>
      <c r="D19" s="2" t="s">
        <v>28</v>
      </c>
      <c r="E19">
        <v>2</v>
      </c>
    </row>
    <row r="20" spans="1:6" x14ac:dyDescent="0.2">
      <c r="A20" s="2" t="s">
        <v>8</v>
      </c>
      <c r="B20">
        <v>2</v>
      </c>
      <c r="D20" s="2" t="s">
        <v>17</v>
      </c>
      <c r="E20">
        <v>2</v>
      </c>
    </row>
    <row r="21" spans="1:6" x14ac:dyDescent="0.2">
      <c r="A21" s="2" t="s">
        <v>38</v>
      </c>
      <c r="B21">
        <v>2</v>
      </c>
      <c r="D21" s="2" t="s">
        <v>24</v>
      </c>
      <c r="E21">
        <v>2</v>
      </c>
    </row>
    <row r="22" spans="1:6" x14ac:dyDescent="0.2">
      <c r="A22" s="2" t="s">
        <v>39</v>
      </c>
      <c r="B22">
        <v>2</v>
      </c>
      <c r="D22" s="2" t="s">
        <v>36</v>
      </c>
      <c r="E22">
        <v>2</v>
      </c>
    </row>
    <row r="23" spans="1:6" x14ac:dyDescent="0.2">
      <c r="A23" s="2" t="s">
        <v>40</v>
      </c>
      <c r="B23">
        <v>2</v>
      </c>
      <c r="D23" s="2" t="s">
        <v>21</v>
      </c>
      <c r="E23">
        <v>2</v>
      </c>
      <c r="F23">
        <v>3</v>
      </c>
    </row>
    <row r="24" spans="1:6" x14ac:dyDescent="0.2">
      <c r="A24" s="2" t="s">
        <v>7</v>
      </c>
      <c r="B24">
        <v>2</v>
      </c>
      <c r="D24" s="2" t="s">
        <v>49</v>
      </c>
    </row>
    <row r="25" spans="1:6" x14ac:dyDescent="0.2">
      <c r="A25" s="2" t="s">
        <v>49</v>
      </c>
      <c r="B25">
        <v>0</v>
      </c>
      <c r="C25">
        <v>23</v>
      </c>
      <c r="D25" s="2" t="s">
        <v>66</v>
      </c>
      <c r="E25">
        <v>1</v>
      </c>
    </row>
    <row r="26" spans="1:6" x14ac:dyDescent="0.2">
      <c r="A26" s="2" t="s">
        <v>61</v>
      </c>
      <c r="B26">
        <v>2</v>
      </c>
      <c r="D26" s="2" t="s">
        <v>67</v>
      </c>
      <c r="E26">
        <v>1</v>
      </c>
    </row>
    <row r="27" spans="1:6" x14ac:dyDescent="0.2">
      <c r="A27" s="2" t="s">
        <v>107</v>
      </c>
      <c r="B27">
        <v>1</v>
      </c>
      <c r="D27" s="2" t="s">
        <v>68</v>
      </c>
      <c r="E27">
        <v>1</v>
      </c>
      <c r="F27">
        <v>1</v>
      </c>
    </row>
    <row r="28" spans="1:6" x14ac:dyDescent="0.2">
      <c r="A28" s="2" t="s">
        <v>105</v>
      </c>
      <c r="B28">
        <v>2</v>
      </c>
      <c r="C28">
        <v>1</v>
      </c>
      <c r="D28" s="2" t="s">
        <v>69</v>
      </c>
      <c r="E28">
        <v>4</v>
      </c>
    </row>
    <row r="29" spans="1:6" x14ac:dyDescent="0.2">
      <c r="A29" s="2" t="s">
        <v>106</v>
      </c>
      <c r="B29">
        <v>2</v>
      </c>
      <c r="C29">
        <v>2</v>
      </c>
      <c r="D29" s="2" t="s">
        <v>70</v>
      </c>
      <c r="E29">
        <v>2</v>
      </c>
    </row>
    <row r="30" spans="1:6" x14ac:dyDescent="0.2">
      <c r="A30" s="2" t="s">
        <v>109</v>
      </c>
      <c r="B30">
        <v>2</v>
      </c>
      <c r="C30">
        <v>2</v>
      </c>
      <c r="D30" s="2" t="s">
        <v>71</v>
      </c>
      <c r="E30">
        <v>2</v>
      </c>
    </row>
    <row r="31" spans="1:6" x14ac:dyDescent="0.2">
      <c r="A31" s="2" t="s">
        <v>50</v>
      </c>
      <c r="B31">
        <v>45</v>
      </c>
      <c r="C31">
        <v>32</v>
      </c>
      <c r="D31" s="2" t="s">
        <v>72</v>
      </c>
      <c r="E31">
        <v>2</v>
      </c>
    </row>
    <row r="32" spans="1:6" x14ac:dyDescent="0.2">
      <c r="D32" s="2" t="s">
        <v>101</v>
      </c>
      <c r="E32">
        <v>2</v>
      </c>
    </row>
    <row r="33" spans="4:6" x14ac:dyDescent="0.2">
      <c r="D33" s="2" t="s">
        <v>103</v>
      </c>
      <c r="E33">
        <v>2</v>
      </c>
    </row>
    <row r="34" spans="4:6" x14ac:dyDescent="0.2">
      <c r="D34" s="2" t="s">
        <v>102</v>
      </c>
      <c r="E34">
        <v>2</v>
      </c>
    </row>
    <row r="35" spans="4:6" x14ac:dyDescent="0.2">
      <c r="D35" s="2" t="s">
        <v>104</v>
      </c>
      <c r="E35">
        <v>1</v>
      </c>
    </row>
    <row r="36" spans="4:6" x14ac:dyDescent="0.2">
      <c r="D36" s="2" t="s">
        <v>50</v>
      </c>
      <c r="E36">
        <v>57</v>
      </c>
      <c r="F3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B72F-2178-7C4A-B282-4447078D4900}">
  <dimension ref="A1:H45"/>
  <sheetViews>
    <sheetView tabSelected="1" zoomScaleNormal="162" workbookViewId="0">
      <selection activeCell="H8" sqref="H8"/>
    </sheetView>
  </sheetViews>
  <sheetFormatPr baseColWidth="10" defaultRowHeight="16" x14ac:dyDescent="0.2"/>
  <cols>
    <col min="1" max="2" width="37.6640625" customWidth="1"/>
    <col min="3" max="3" width="23.33203125" customWidth="1"/>
    <col min="4" max="5" width="24.1640625" customWidth="1"/>
    <col min="6" max="6" width="26.1640625" customWidth="1"/>
    <col min="8" max="8" width="24.1640625" customWidth="1"/>
  </cols>
  <sheetData>
    <row r="1" spans="1:8" ht="15" customHeight="1" x14ac:dyDescent="0.2">
      <c r="A1" t="s">
        <v>0</v>
      </c>
      <c r="B1" t="s">
        <v>52</v>
      </c>
      <c r="C1" t="s">
        <v>119</v>
      </c>
      <c r="D1" t="s">
        <v>11</v>
      </c>
      <c r="E1" t="s">
        <v>12</v>
      </c>
      <c r="F1" t="s">
        <v>54</v>
      </c>
      <c r="G1" t="s">
        <v>13</v>
      </c>
      <c r="H1" t="s">
        <v>120</v>
      </c>
    </row>
    <row r="2" spans="1:8" x14ac:dyDescent="0.2">
      <c r="A2" t="s">
        <v>1</v>
      </c>
      <c r="B2">
        <v>2</v>
      </c>
      <c r="C2" t="s">
        <v>121</v>
      </c>
      <c r="E2" t="s">
        <v>66</v>
      </c>
      <c r="F2">
        <v>1</v>
      </c>
      <c r="H2" t="s">
        <v>121</v>
      </c>
    </row>
    <row r="3" spans="1:8" x14ac:dyDescent="0.2">
      <c r="A3" t="s">
        <v>2</v>
      </c>
      <c r="B3">
        <v>1</v>
      </c>
      <c r="C3" t="s">
        <v>121</v>
      </c>
      <c r="E3" t="s">
        <v>67</v>
      </c>
      <c r="F3">
        <v>1</v>
      </c>
      <c r="H3" t="s">
        <v>121</v>
      </c>
    </row>
    <row r="4" spans="1:8" x14ac:dyDescent="0.2">
      <c r="A4" t="s">
        <v>3</v>
      </c>
      <c r="B4">
        <v>2</v>
      </c>
      <c r="C4" t="s">
        <v>121</v>
      </c>
      <c r="D4">
        <v>3</v>
      </c>
      <c r="E4" t="s">
        <v>16</v>
      </c>
      <c r="F4">
        <v>1</v>
      </c>
      <c r="G4">
        <v>1</v>
      </c>
      <c r="H4" t="s">
        <v>121</v>
      </c>
    </row>
    <row r="5" spans="1:8" x14ac:dyDescent="0.2">
      <c r="A5" t="s">
        <v>43</v>
      </c>
      <c r="B5">
        <v>2</v>
      </c>
      <c r="E5" t="s">
        <v>68</v>
      </c>
      <c r="F5">
        <v>1</v>
      </c>
      <c r="G5">
        <v>1</v>
      </c>
      <c r="H5" t="s">
        <v>121</v>
      </c>
    </row>
    <row r="6" spans="1:8" x14ac:dyDescent="0.2">
      <c r="A6" t="s">
        <v>4</v>
      </c>
      <c r="B6">
        <v>2</v>
      </c>
      <c r="C6" t="s">
        <v>121</v>
      </c>
      <c r="E6" t="s">
        <v>17</v>
      </c>
      <c r="F6">
        <v>2</v>
      </c>
      <c r="H6" t="s">
        <v>121</v>
      </c>
    </row>
    <row r="7" spans="1:8" x14ac:dyDescent="0.2">
      <c r="A7" t="s">
        <v>5</v>
      </c>
      <c r="B7">
        <v>1</v>
      </c>
      <c r="C7" t="s">
        <v>121</v>
      </c>
      <c r="E7" t="s">
        <v>18</v>
      </c>
      <c r="F7">
        <v>2</v>
      </c>
      <c r="G7">
        <v>1</v>
      </c>
      <c r="H7" t="s">
        <v>121</v>
      </c>
    </row>
    <row r="8" spans="1:8" x14ac:dyDescent="0.2">
      <c r="A8" t="s">
        <v>6</v>
      </c>
      <c r="B8">
        <v>2</v>
      </c>
      <c r="C8" t="s">
        <v>121</v>
      </c>
      <c r="E8" t="s">
        <v>19</v>
      </c>
      <c r="F8">
        <v>2</v>
      </c>
    </row>
    <row r="9" spans="1:8" x14ac:dyDescent="0.2">
      <c r="A9" t="s">
        <v>7</v>
      </c>
      <c r="B9">
        <v>2</v>
      </c>
      <c r="C9" t="s">
        <v>121</v>
      </c>
      <c r="E9" t="s">
        <v>20</v>
      </c>
      <c r="F9">
        <v>2</v>
      </c>
      <c r="G9">
        <v>1</v>
      </c>
    </row>
    <row r="10" spans="1:8" x14ac:dyDescent="0.2">
      <c r="A10" t="s">
        <v>8</v>
      </c>
      <c r="B10">
        <v>2</v>
      </c>
      <c r="C10" t="s">
        <v>121</v>
      </c>
      <c r="E10" t="s">
        <v>21</v>
      </c>
      <c r="F10">
        <v>2</v>
      </c>
      <c r="G10">
        <v>3</v>
      </c>
    </row>
    <row r="11" spans="1:8" x14ac:dyDescent="0.2">
      <c r="A11" t="s">
        <v>9</v>
      </c>
      <c r="B11">
        <v>2</v>
      </c>
      <c r="C11" t="s">
        <v>121</v>
      </c>
      <c r="E11" t="s">
        <v>22</v>
      </c>
      <c r="F11">
        <v>2</v>
      </c>
    </row>
    <row r="12" spans="1:8" x14ac:dyDescent="0.2">
      <c r="A12" t="s">
        <v>14</v>
      </c>
      <c r="B12">
        <v>2</v>
      </c>
      <c r="C12" t="s">
        <v>121</v>
      </c>
      <c r="D12">
        <v>1</v>
      </c>
      <c r="E12" t="s">
        <v>23</v>
      </c>
      <c r="F12">
        <v>2</v>
      </c>
      <c r="G12">
        <v>2</v>
      </c>
    </row>
    <row r="13" spans="1:8" x14ac:dyDescent="0.2">
      <c r="A13" t="s">
        <v>10</v>
      </c>
      <c r="B13">
        <v>1</v>
      </c>
      <c r="C13" t="s">
        <v>121</v>
      </c>
      <c r="E13" t="s">
        <v>24</v>
      </c>
      <c r="F13">
        <v>2</v>
      </c>
    </row>
    <row r="14" spans="1:8" x14ac:dyDescent="0.2">
      <c r="A14" t="s">
        <v>39</v>
      </c>
      <c r="B14">
        <v>2</v>
      </c>
      <c r="C14" t="s">
        <v>121</v>
      </c>
      <c r="E14" t="s">
        <v>25</v>
      </c>
      <c r="F14">
        <v>2</v>
      </c>
    </row>
    <row r="15" spans="1:8" x14ac:dyDescent="0.2">
      <c r="A15" t="s">
        <v>41</v>
      </c>
      <c r="B15">
        <v>1</v>
      </c>
      <c r="E15" t="s">
        <v>26</v>
      </c>
      <c r="F15">
        <v>1</v>
      </c>
    </row>
    <row r="16" spans="1:8" x14ac:dyDescent="0.2">
      <c r="A16" t="s">
        <v>107</v>
      </c>
      <c r="B16">
        <v>1</v>
      </c>
      <c r="E16" t="s">
        <v>27</v>
      </c>
      <c r="F16">
        <v>1</v>
      </c>
    </row>
    <row r="17" spans="1:7" x14ac:dyDescent="0.2">
      <c r="A17" t="s">
        <v>38</v>
      </c>
      <c r="B17">
        <v>2</v>
      </c>
      <c r="E17" t="s">
        <v>28</v>
      </c>
      <c r="F17">
        <v>2</v>
      </c>
    </row>
    <row r="18" spans="1:7" x14ac:dyDescent="0.2">
      <c r="A18" t="s">
        <v>15</v>
      </c>
      <c r="B18">
        <v>2</v>
      </c>
      <c r="E18" t="s">
        <v>29</v>
      </c>
      <c r="F18">
        <v>2</v>
      </c>
      <c r="G18">
        <v>1</v>
      </c>
    </row>
    <row r="19" spans="1:7" x14ac:dyDescent="0.2">
      <c r="A19" t="s">
        <v>37</v>
      </c>
      <c r="B19">
        <v>1</v>
      </c>
      <c r="E19" t="s">
        <v>30</v>
      </c>
      <c r="F19">
        <v>2</v>
      </c>
    </row>
    <row r="20" spans="1:7" x14ac:dyDescent="0.2">
      <c r="A20" t="s">
        <v>40</v>
      </c>
      <c r="B20">
        <v>2</v>
      </c>
      <c r="E20" t="s">
        <v>31</v>
      </c>
      <c r="F20">
        <v>2</v>
      </c>
    </row>
    <row r="21" spans="1:7" x14ac:dyDescent="0.2">
      <c r="A21" t="s">
        <v>32</v>
      </c>
      <c r="B21">
        <v>2</v>
      </c>
      <c r="C21" t="s">
        <v>121</v>
      </c>
      <c r="E21" t="s">
        <v>36</v>
      </c>
      <c r="F21">
        <v>2</v>
      </c>
    </row>
    <row r="22" spans="1:7" x14ac:dyDescent="0.2">
      <c r="A22" t="s">
        <v>42</v>
      </c>
      <c r="B22">
        <v>1</v>
      </c>
      <c r="E22" t="s">
        <v>33</v>
      </c>
      <c r="F22">
        <v>2</v>
      </c>
    </row>
    <row r="23" spans="1:7" x14ac:dyDescent="0.2">
      <c r="A23" t="s">
        <v>44</v>
      </c>
      <c r="B23">
        <v>2</v>
      </c>
      <c r="E23" t="s">
        <v>34</v>
      </c>
      <c r="F23">
        <v>2</v>
      </c>
    </row>
    <row r="24" spans="1:7" x14ac:dyDescent="0.2">
      <c r="A24" t="s">
        <v>61</v>
      </c>
      <c r="B24">
        <v>2</v>
      </c>
      <c r="E24" t="s">
        <v>35</v>
      </c>
      <c r="F24">
        <v>2</v>
      </c>
    </row>
    <row r="25" spans="1:7" x14ac:dyDescent="0.2">
      <c r="A25" t="s">
        <v>105</v>
      </c>
      <c r="B25">
        <v>2</v>
      </c>
      <c r="D25">
        <v>1</v>
      </c>
      <c r="E25" t="s">
        <v>69</v>
      </c>
      <c r="F25">
        <v>4</v>
      </c>
    </row>
    <row r="26" spans="1:7" x14ac:dyDescent="0.2">
      <c r="A26" t="s">
        <v>106</v>
      </c>
      <c r="B26">
        <v>2</v>
      </c>
      <c r="D26">
        <v>2</v>
      </c>
      <c r="E26" t="s">
        <v>70</v>
      </c>
      <c r="F26">
        <v>2</v>
      </c>
    </row>
    <row r="27" spans="1:7" x14ac:dyDescent="0.2">
      <c r="A27" t="s">
        <v>109</v>
      </c>
      <c r="B27">
        <v>2</v>
      </c>
      <c r="D27">
        <v>2</v>
      </c>
      <c r="E27" t="s">
        <v>71</v>
      </c>
      <c r="F27">
        <v>2</v>
      </c>
    </row>
    <row r="28" spans="1:7" x14ac:dyDescent="0.2">
      <c r="E28" t="s">
        <v>72</v>
      </c>
      <c r="F28">
        <v>2</v>
      </c>
    </row>
    <row r="29" spans="1:7" x14ac:dyDescent="0.2">
      <c r="E29" t="s">
        <v>101</v>
      </c>
      <c r="F29">
        <v>2</v>
      </c>
    </row>
    <row r="30" spans="1:7" x14ac:dyDescent="0.2">
      <c r="E30" t="s">
        <v>103</v>
      </c>
      <c r="F30">
        <v>2</v>
      </c>
    </row>
    <row r="31" spans="1:7" x14ac:dyDescent="0.2">
      <c r="E31" t="s">
        <v>102</v>
      </c>
      <c r="F31">
        <v>2</v>
      </c>
    </row>
    <row r="32" spans="1:7" x14ac:dyDescent="0.2">
      <c r="E32" t="s">
        <v>104</v>
      </c>
      <c r="F32">
        <v>1</v>
      </c>
    </row>
    <row r="37" spans="2:3" x14ac:dyDescent="0.2">
      <c r="B37" t="s">
        <v>73</v>
      </c>
      <c r="C37" t="s">
        <v>52</v>
      </c>
    </row>
    <row r="38" spans="2:3" x14ac:dyDescent="0.2">
      <c r="B38" t="s">
        <v>85</v>
      </c>
      <c r="C38">
        <v>1</v>
      </c>
    </row>
    <row r="39" spans="2:3" x14ac:dyDescent="0.2">
      <c r="B39" t="s">
        <v>74</v>
      </c>
      <c r="C39">
        <v>2</v>
      </c>
    </row>
    <row r="40" spans="2:3" x14ac:dyDescent="0.2">
      <c r="B40" t="s">
        <v>75</v>
      </c>
      <c r="C40">
        <v>1</v>
      </c>
    </row>
    <row r="41" spans="2:3" x14ac:dyDescent="0.2">
      <c r="B41" t="s">
        <v>76</v>
      </c>
      <c r="C41">
        <v>2</v>
      </c>
    </row>
    <row r="42" spans="2:3" x14ac:dyDescent="0.2">
      <c r="B42" t="s">
        <v>86</v>
      </c>
      <c r="C42">
        <v>4</v>
      </c>
    </row>
    <row r="43" spans="2:3" x14ac:dyDescent="0.2">
      <c r="B43" t="s">
        <v>77</v>
      </c>
      <c r="C43">
        <v>1</v>
      </c>
    </row>
    <row r="44" spans="2:3" x14ac:dyDescent="0.2">
      <c r="B44" t="s">
        <v>78</v>
      </c>
      <c r="C44">
        <v>1</v>
      </c>
    </row>
    <row r="45" spans="2:3" x14ac:dyDescent="0.2">
      <c r="C45">
        <f>C39+C40+C41+C42+C43+C44</f>
        <v>11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76C4-07BD-0345-B447-99540D3FAD3E}">
  <dimension ref="B2:E6"/>
  <sheetViews>
    <sheetView workbookViewId="0">
      <selection activeCell="D29" sqref="D29"/>
    </sheetView>
  </sheetViews>
  <sheetFormatPr baseColWidth="10" defaultRowHeight="16" x14ac:dyDescent="0.2"/>
  <cols>
    <col min="2" max="2" width="35.5" customWidth="1"/>
    <col min="3" max="3" width="20.33203125" customWidth="1"/>
    <col min="4" max="4" width="27.33203125" customWidth="1"/>
    <col min="5" max="5" width="32.1640625" customWidth="1"/>
  </cols>
  <sheetData>
    <row r="2" spans="2:5" x14ac:dyDescent="0.2">
      <c r="B2" t="s">
        <v>110</v>
      </c>
      <c r="C2" t="s">
        <v>111</v>
      </c>
      <c r="D2" t="s">
        <v>112</v>
      </c>
      <c r="E2" t="s">
        <v>114</v>
      </c>
    </row>
    <row r="3" spans="2:5" ht="102" x14ac:dyDescent="0.2">
      <c r="B3" s="6" t="s">
        <v>113</v>
      </c>
      <c r="E3" t="s">
        <v>115</v>
      </c>
    </row>
    <row r="4" spans="2:5" x14ac:dyDescent="0.2">
      <c r="E4" t="s">
        <v>116</v>
      </c>
    </row>
    <row r="5" spans="2:5" x14ac:dyDescent="0.2">
      <c r="E5" t="s">
        <v>117</v>
      </c>
    </row>
    <row r="6" spans="2:5" x14ac:dyDescent="0.2">
      <c r="E6" t="s">
        <v>118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E612-859D-D947-BE0E-1DFDDE09158C}">
  <dimension ref="A3:E23"/>
  <sheetViews>
    <sheetView zoomScale="99" workbookViewId="0">
      <selection activeCell="C13" sqref="C13"/>
    </sheetView>
  </sheetViews>
  <sheetFormatPr baseColWidth="10" defaultRowHeight="16" x14ac:dyDescent="0.2"/>
  <cols>
    <col min="1" max="1" width="18" bestFit="1" customWidth="1"/>
    <col min="2" max="2" width="14.6640625" style="3" bestFit="1" customWidth="1"/>
    <col min="3" max="3" width="22.83203125" bestFit="1" customWidth="1"/>
    <col min="4" max="4" width="24.1640625" bestFit="1" customWidth="1"/>
    <col min="5" max="5" width="20.5" bestFit="1" customWidth="1"/>
  </cols>
  <sheetData>
    <row r="3" spans="1:5" x14ac:dyDescent="0.2">
      <c r="A3" s="1" t="s">
        <v>48</v>
      </c>
      <c r="B3" s="3" t="s">
        <v>81</v>
      </c>
      <c r="C3" t="s">
        <v>82</v>
      </c>
      <c r="D3" t="s">
        <v>83</v>
      </c>
      <c r="E3" t="s">
        <v>84</v>
      </c>
    </row>
    <row r="4" spans="1:5" x14ac:dyDescent="0.2">
      <c r="A4" s="2" t="s">
        <v>56</v>
      </c>
      <c r="B4" s="3">
        <v>0</v>
      </c>
    </row>
    <row r="5" spans="1:5" x14ac:dyDescent="0.2">
      <c r="A5" s="2" t="s">
        <v>55</v>
      </c>
      <c r="B5" s="3">
        <v>0</v>
      </c>
    </row>
    <row r="6" spans="1:5" x14ac:dyDescent="0.2">
      <c r="A6" s="2" t="s">
        <v>58</v>
      </c>
      <c r="B6" s="3">
        <v>0</v>
      </c>
    </row>
    <row r="7" spans="1:5" x14ac:dyDescent="0.2">
      <c r="A7" s="2" t="s">
        <v>57</v>
      </c>
      <c r="B7" s="3">
        <v>0</v>
      </c>
    </row>
    <row r="8" spans="1:5" x14ac:dyDescent="0.2">
      <c r="A8" s="2" t="s">
        <v>60</v>
      </c>
      <c r="B8" s="3">
        <v>0</v>
      </c>
    </row>
    <row r="9" spans="1:5" x14ac:dyDescent="0.2">
      <c r="A9" s="2" t="s">
        <v>59</v>
      </c>
      <c r="B9" s="3">
        <v>0</v>
      </c>
    </row>
    <row r="10" spans="1:5" x14ac:dyDescent="0.2">
      <c r="A10" s="2" t="s">
        <v>90</v>
      </c>
      <c r="B10" s="3">
        <v>0</v>
      </c>
    </row>
    <row r="11" spans="1:5" x14ac:dyDescent="0.2">
      <c r="A11" s="2" t="s">
        <v>87</v>
      </c>
      <c r="B11" s="3">
        <v>0</v>
      </c>
    </row>
    <row r="12" spans="1:5" x14ac:dyDescent="0.2">
      <c r="A12" s="2" t="s">
        <v>88</v>
      </c>
      <c r="B12" s="3">
        <v>0</v>
      </c>
    </row>
    <row r="13" spans="1:5" ht="17" customHeight="1" x14ac:dyDescent="0.2">
      <c r="A13" s="2" t="s">
        <v>89</v>
      </c>
      <c r="B13" s="3">
        <v>0</v>
      </c>
    </row>
    <row r="14" spans="1:5" x14ac:dyDescent="0.2">
      <c r="A14" s="2" t="s">
        <v>95</v>
      </c>
      <c r="B14" s="3">
        <v>0</v>
      </c>
    </row>
    <row r="15" spans="1:5" x14ac:dyDescent="0.2">
      <c r="A15" s="2" t="s">
        <v>92</v>
      </c>
      <c r="B15" s="3">
        <v>0</v>
      </c>
    </row>
    <row r="16" spans="1:5" x14ac:dyDescent="0.2">
      <c r="A16" s="2" t="s">
        <v>91</v>
      </c>
      <c r="B16" s="3">
        <v>0</v>
      </c>
    </row>
    <row r="17" spans="1:2" x14ac:dyDescent="0.2">
      <c r="A17" s="2" t="s">
        <v>96</v>
      </c>
      <c r="B17" s="3">
        <v>2090</v>
      </c>
    </row>
    <row r="18" spans="1:2" x14ac:dyDescent="0.2">
      <c r="A18" s="2" t="s">
        <v>97</v>
      </c>
      <c r="B18" s="3">
        <v>0</v>
      </c>
    </row>
    <row r="19" spans="1:2" x14ac:dyDescent="0.2">
      <c r="A19" s="2" t="s">
        <v>93</v>
      </c>
      <c r="B19" s="3">
        <v>907.5</v>
      </c>
    </row>
    <row r="20" spans="1:2" x14ac:dyDescent="0.2">
      <c r="A20" s="2" t="s">
        <v>99</v>
      </c>
      <c r="B20" s="3">
        <v>3850</v>
      </c>
    </row>
    <row r="21" spans="1:2" x14ac:dyDescent="0.2">
      <c r="A21" s="2" t="s">
        <v>100</v>
      </c>
      <c r="B21" s="3">
        <v>1815</v>
      </c>
    </row>
    <row r="22" spans="1:2" x14ac:dyDescent="0.2">
      <c r="A22" s="2" t="s">
        <v>108</v>
      </c>
      <c r="B22" s="3">
        <v>7920</v>
      </c>
    </row>
    <row r="23" spans="1:2" x14ac:dyDescent="0.2">
      <c r="A23" s="2" t="s">
        <v>50</v>
      </c>
      <c r="B23" s="3">
        <v>16582.5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CEA0-CCDF-AB47-B382-E385BA9EC31E}">
  <dimension ref="A1:G24"/>
  <sheetViews>
    <sheetView workbookViewId="0">
      <selection activeCell="C29" sqref="C29"/>
    </sheetView>
  </sheetViews>
  <sheetFormatPr baseColWidth="10" defaultRowHeight="19" x14ac:dyDescent="0.25"/>
  <cols>
    <col min="1" max="1" width="22.83203125" style="5" customWidth="1"/>
    <col min="2" max="2" width="22.83203125" customWidth="1"/>
    <col min="3" max="3" width="22.83203125" style="4" customWidth="1"/>
    <col min="4" max="4" width="16.83203125" style="3" customWidth="1"/>
    <col min="5" max="5" width="20.6640625" customWidth="1"/>
    <col min="6" max="6" width="19.33203125" customWidth="1"/>
    <col min="7" max="7" width="16" customWidth="1"/>
  </cols>
  <sheetData>
    <row r="1" spans="1:7" x14ac:dyDescent="0.25">
      <c r="A1" s="5" t="s">
        <v>46</v>
      </c>
      <c r="B1" t="s">
        <v>98</v>
      </c>
      <c r="C1" s="4" t="s">
        <v>94</v>
      </c>
      <c r="D1" s="3" t="s">
        <v>45</v>
      </c>
      <c r="E1" t="s">
        <v>79</v>
      </c>
      <c r="F1" t="s">
        <v>80</v>
      </c>
      <c r="G1" t="s">
        <v>47</v>
      </c>
    </row>
    <row r="2" spans="1:7" x14ac:dyDescent="0.25">
      <c r="A2" s="5" t="s">
        <v>99</v>
      </c>
      <c r="B2">
        <v>3500</v>
      </c>
      <c r="C2" s="4">
        <v>0.1</v>
      </c>
      <c r="D2" s="3">
        <f>Table2[[#This Row],[Importe]]+(Table2[[#This Row],[Importe]]*Table2[[#This Row],[IVA]])</f>
        <v>3850</v>
      </c>
    </row>
    <row r="3" spans="1:7" x14ac:dyDescent="0.25">
      <c r="A3" s="5" t="s">
        <v>100</v>
      </c>
      <c r="B3">
        <v>1500</v>
      </c>
      <c r="C3" s="4">
        <v>0.21</v>
      </c>
      <c r="D3" s="3">
        <f>Table2[[#This Row],[Importe]]+(Table2[[#This Row],[Importe]]*Table2[[#This Row],[IVA]])</f>
        <v>1815</v>
      </c>
    </row>
    <row r="4" spans="1:7" x14ac:dyDescent="0.25">
      <c r="A4" s="5" t="s">
        <v>108</v>
      </c>
      <c r="B4">
        <v>7200</v>
      </c>
      <c r="C4" s="4">
        <v>0.1</v>
      </c>
      <c r="D4" s="3">
        <f>Table2[[#This Row],[Importe]]+(Table2[[#This Row],[Importe]]*Table2[[#This Row],[IVA]])</f>
        <v>7920</v>
      </c>
    </row>
    <row r="5" spans="1:7" x14ac:dyDescent="0.25">
      <c r="A5" s="5" t="s">
        <v>55</v>
      </c>
      <c r="B5" s="4"/>
      <c r="D5" s="3">
        <f>Table2[[#This Row],[Importe]]+(Table2[[#This Row],[Importe]]*Table2[[#This Row],[IVA]])</f>
        <v>0</v>
      </c>
    </row>
    <row r="6" spans="1:7" x14ac:dyDescent="0.25">
      <c r="A6" s="5" t="s">
        <v>56</v>
      </c>
      <c r="D6" s="3">
        <f>Table2[[#This Row],[Importe]]+(Table2[[#This Row],[Importe]]*Table2[[#This Row],[IVA]])</f>
        <v>0</v>
      </c>
    </row>
    <row r="7" spans="1:7" x14ac:dyDescent="0.25">
      <c r="A7" s="5" t="s">
        <v>57</v>
      </c>
      <c r="D7" s="3">
        <f>Table2[[#This Row],[Importe]]+(Table2[[#This Row],[Importe]]*Table2[[#This Row],[IVA]])</f>
        <v>0</v>
      </c>
    </row>
    <row r="8" spans="1:7" x14ac:dyDescent="0.25">
      <c r="A8" s="5" t="s">
        <v>58</v>
      </c>
      <c r="D8" s="3">
        <f>Table2[[#This Row],[Importe]]+(Table2[[#This Row],[Importe]]*Table2[[#This Row],[IVA]])</f>
        <v>0</v>
      </c>
    </row>
    <row r="9" spans="1:7" x14ac:dyDescent="0.25">
      <c r="A9" s="5" t="s">
        <v>95</v>
      </c>
      <c r="D9" s="3">
        <f>Table2[[#This Row],[Importe]]+(Table2[[#This Row],[Importe]]*Table2[[#This Row],[IVA]])</f>
        <v>0</v>
      </c>
    </row>
    <row r="10" spans="1:7" x14ac:dyDescent="0.25">
      <c r="A10" s="5" t="s">
        <v>59</v>
      </c>
      <c r="D10" s="3">
        <f>Table2[[#This Row],[Importe]]+(Table2[[#This Row],[Importe]]*Table2[[#This Row],[IVA]])</f>
        <v>0</v>
      </c>
    </row>
    <row r="11" spans="1:7" x14ac:dyDescent="0.25">
      <c r="A11" s="5" t="s">
        <v>60</v>
      </c>
      <c r="D11" s="3">
        <f>Table2[[#This Row],[Importe]]+(Table2[[#This Row],[Importe]]*Table2[[#This Row],[IVA]])</f>
        <v>0</v>
      </c>
    </row>
    <row r="12" spans="1:7" x14ac:dyDescent="0.25">
      <c r="A12" s="5" t="s">
        <v>88</v>
      </c>
      <c r="D12" s="3">
        <f>Table2[[#This Row],[Importe]]+(Table2[[#This Row],[Importe]]*Table2[[#This Row],[IVA]])</f>
        <v>0</v>
      </c>
    </row>
    <row r="13" spans="1:7" x14ac:dyDescent="0.25">
      <c r="A13" s="5" t="s">
        <v>87</v>
      </c>
      <c r="D13" s="3">
        <f>Table2[[#This Row],[Importe]]+(Table2[[#This Row],[Importe]]*Table2[[#This Row],[IVA]])</f>
        <v>0</v>
      </c>
    </row>
    <row r="14" spans="1:7" x14ac:dyDescent="0.25">
      <c r="A14" s="5" t="s">
        <v>92</v>
      </c>
      <c r="D14" s="3">
        <f>Table2[[#This Row],[Importe]]+(Table2[[#This Row],[Importe]]*Table2[[#This Row],[IVA]])</f>
        <v>0</v>
      </c>
    </row>
    <row r="15" spans="1:7" x14ac:dyDescent="0.25">
      <c r="A15" s="5" t="s">
        <v>91</v>
      </c>
      <c r="D15" s="3">
        <f>Table2[[#This Row],[Importe]]+(Table2[[#This Row],[Importe]]*Table2[[#This Row],[IVA]])</f>
        <v>0</v>
      </c>
    </row>
    <row r="16" spans="1:7" x14ac:dyDescent="0.25">
      <c r="A16" s="5" t="s">
        <v>89</v>
      </c>
      <c r="D16" s="3">
        <f>Table2[[#This Row],[Importe]]+(Table2[[#This Row],[Importe]]*Table2[[#This Row],[IVA]])</f>
        <v>0</v>
      </c>
    </row>
    <row r="17" spans="1:4" x14ac:dyDescent="0.25">
      <c r="A17" s="5" t="s">
        <v>96</v>
      </c>
      <c r="B17">
        <v>1900</v>
      </c>
      <c r="C17" s="4">
        <v>0.1</v>
      </c>
      <c r="D17" s="3">
        <f>Table2[[#This Row],[Importe]]+(Table2[[#This Row],[Importe]]*Table2[[#This Row],[IVA]])</f>
        <v>2090</v>
      </c>
    </row>
    <row r="18" spans="1:4" x14ac:dyDescent="0.25">
      <c r="A18" s="5" t="s">
        <v>97</v>
      </c>
      <c r="D18" s="3">
        <f>Table2[[#This Row],[Importe]]+(Table2[[#This Row],[Importe]]*Table2[[#This Row],[IVA]])</f>
        <v>0</v>
      </c>
    </row>
    <row r="19" spans="1:4" x14ac:dyDescent="0.25">
      <c r="A19" s="5" t="s">
        <v>93</v>
      </c>
      <c r="B19">
        <v>750</v>
      </c>
      <c r="C19" s="4">
        <v>0.21</v>
      </c>
      <c r="D19" s="3">
        <f>Table2[[#This Row],[Importe]]+(Table2[[#This Row],[Importe]]*Table2[[#This Row],[IVA]])</f>
        <v>907.5</v>
      </c>
    </row>
    <row r="20" spans="1:4" x14ac:dyDescent="0.25">
      <c r="D20" s="3">
        <f>Table2[[#This Row],[Importe]]+(Table2[[#This Row],[Importe]]*Table2[[#This Row],[IVA]])</f>
        <v>0</v>
      </c>
    </row>
    <row r="21" spans="1:4" x14ac:dyDescent="0.25">
      <c r="D21" s="3">
        <f>Table2[[#This Row],[Importe]]+(Table2[[#This Row],[Importe]]*Table2[[#This Row],[IVA]])</f>
        <v>0</v>
      </c>
    </row>
    <row r="22" spans="1:4" x14ac:dyDescent="0.25">
      <c r="D22" s="3">
        <f>Table2[[#This Row],[Importe]]+(Table2[[#This Row],[Importe]]*Table2[[#This Row],[IVA]])</f>
        <v>0</v>
      </c>
    </row>
    <row r="23" spans="1:4" x14ac:dyDescent="0.25">
      <c r="D23" s="3">
        <f>Table2[[#This Row],[Importe]]+(Table2[[#This Row],[Importe]]*Table2[[#This Row],[IVA]])</f>
        <v>0</v>
      </c>
    </row>
    <row r="24" spans="1:4" x14ac:dyDescent="0.25">
      <c r="D24" s="3">
        <f>Table2[[#This Row],[Importe]]+(Table2[[#This Row],[Importe]]*Table2[[#This Row],[IVA]])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Lista Total</vt:lpstr>
      <vt:lpstr>Invitados</vt:lpstr>
      <vt:lpstr>Canciones</vt:lpstr>
      <vt:lpstr>Total Gastos 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NUNEZ MONTES (Student)</dc:creator>
  <cp:lastModifiedBy>Vania NUNEZ MONTES (Student)</cp:lastModifiedBy>
  <dcterms:created xsi:type="dcterms:W3CDTF">2026-02-21T14:26:20Z</dcterms:created>
  <dcterms:modified xsi:type="dcterms:W3CDTF">2026-06-05T11:19:11Z</dcterms:modified>
</cp:coreProperties>
</file>